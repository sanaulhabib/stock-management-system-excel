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HAT\Desktop\"/>
    </mc:Choice>
  </mc:AlternateContent>
  <xr:revisionPtr revIDLastSave="0" documentId="13_ncr:1_{09444CD7-337A-41A3-8857-FAC93EE754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ck_Management_System" sheetId="1" r:id="rId1"/>
    <sheet name="Stock_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11" i="1"/>
  <c r="O12" i="1"/>
  <c r="Q12" i="1" s="1"/>
  <c r="R12" i="1" s="1"/>
  <c r="O13" i="1"/>
  <c r="O14" i="1"/>
  <c r="O15" i="1"/>
  <c r="O16" i="1"/>
  <c r="Q16" i="1" s="1"/>
  <c r="R16" i="1" s="1"/>
  <c r="O17" i="1"/>
  <c r="O18" i="1"/>
  <c r="Q18" i="1" s="1"/>
  <c r="R18" i="1" s="1"/>
  <c r="O19" i="1"/>
  <c r="O20" i="1"/>
  <c r="Q20" i="1" s="1"/>
  <c r="R20" i="1" s="1"/>
  <c r="O21" i="1"/>
  <c r="O22" i="1"/>
  <c r="Q22" i="1" s="1"/>
  <c r="R22" i="1" s="1"/>
  <c r="O23" i="1"/>
  <c r="O24" i="1"/>
  <c r="Q24" i="1" s="1"/>
  <c r="R24" i="1" s="1"/>
  <c r="O25" i="1"/>
  <c r="O26" i="1"/>
  <c r="O11" i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11" i="1"/>
  <c r="L11" i="1" s="1"/>
  <c r="E17" i="1"/>
  <c r="F17" i="1" s="1"/>
  <c r="E16" i="1"/>
  <c r="F16" i="1" s="1"/>
  <c r="E13" i="1"/>
  <c r="F13" i="1" s="1"/>
  <c r="E14" i="1"/>
  <c r="F14" i="1" s="1"/>
  <c r="E15" i="1"/>
  <c r="F15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12" i="1"/>
  <c r="F12" i="1" s="1"/>
  <c r="E11" i="1"/>
  <c r="F11" i="1" s="1"/>
  <c r="Q21" i="1" l="1"/>
  <c r="R21" i="1" s="1"/>
  <c r="Q25" i="1"/>
  <c r="R25" i="1" s="1"/>
  <c r="Q26" i="1"/>
  <c r="R26" i="1" s="1"/>
  <c r="Q17" i="1"/>
  <c r="R17" i="1" s="1"/>
  <c r="Q13" i="1"/>
  <c r="R13" i="1" s="1"/>
  <c r="Q23" i="1"/>
  <c r="R23" i="1" s="1"/>
  <c r="Q14" i="1"/>
  <c r="R14" i="1" s="1"/>
  <c r="Q11" i="1"/>
  <c r="R11" i="1" s="1"/>
  <c r="Q15" i="1"/>
  <c r="R15" i="1" s="1"/>
  <c r="Q19" i="1"/>
  <c r="R19" i="1" s="1"/>
</calcChain>
</file>

<file path=xl/sharedStrings.xml><?xml version="1.0" encoding="utf-8"?>
<sst xmlns="http://schemas.openxmlformats.org/spreadsheetml/2006/main" count="92" uniqueCount="31">
  <si>
    <t>PURCHASE</t>
  </si>
  <si>
    <t>SALES</t>
  </si>
  <si>
    <t>STOCK</t>
  </si>
  <si>
    <t>Date</t>
  </si>
  <si>
    <t>Product Name</t>
  </si>
  <si>
    <t>Qty.</t>
  </si>
  <si>
    <t>Rate</t>
  </si>
  <si>
    <t>Amount</t>
  </si>
  <si>
    <t>Total Purchase</t>
  </si>
  <si>
    <t>Total Sales</t>
  </si>
  <si>
    <t>Closing Stock</t>
  </si>
  <si>
    <t>Purchase Rate</t>
  </si>
  <si>
    <t>Status</t>
  </si>
  <si>
    <t>Selling Rate</t>
  </si>
  <si>
    <t>A4 Tech Mouse</t>
  </si>
  <si>
    <t>MSI Pro MP225  Monitor</t>
  </si>
  <si>
    <t>BenQ PD254 Monitor</t>
  </si>
  <si>
    <t>Microlab M07 Speaker</t>
  </si>
  <si>
    <t>250 W Power Supply</t>
  </si>
  <si>
    <t>PC Power 16 GB Ram</t>
  </si>
  <si>
    <t>Redmi Note 9 pro</t>
  </si>
  <si>
    <t>A4 Tech Keyboard</t>
  </si>
  <si>
    <t>MSI B450 Motherboard</t>
  </si>
  <si>
    <t>Havit 2230u Headphone</t>
  </si>
  <si>
    <t xml:space="preserve">Tecno Sperk 5 Pro </t>
  </si>
  <si>
    <t>ADATA 64 GB Pendrive</t>
  </si>
  <si>
    <t>HP 128 GB Pendrive</t>
  </si>
  <si>
    <t>Ryzen 5 5600G</t>
  </si>
  <si>
    <t>Intel Core i5 10th Gen</t>
  </si>
  <si>
    <t>MSI GT 710 2 GB DDR3</t>
  </si>
  <si>
    <t>STOCK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</si>
</sst>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CAF01"/>
        <bgColor indexed="64"/>
      </patternFill>
    </fill>
    <fill>
      <patternFill patternType="solid">
        <fgColor rgb="FF9BFF9D"/>
        <bgColor indexed="64"/>
      </patternFill>
    </fill>
    <fill>
      <patternFill patternType="solid">
        <fgColor rgb="FF8FCFFF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4CAF01"/>
      </left>
      <right style="thin">
        <color rgb="FF4CAF01"/>
      </right>
      <top style="thin">
        <color rgb="FF4CAF01"/>
      </top>
      <bottom style="thin">
        <color rgb="FF4CAF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/>
    <xf numFmtId="0" fontId="2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B8B6D"/>
        </patternFill>
      </fill>
    </dxf>
    <dxf>
      <fill>
        <patternFill>
          <bgColor rgb="FF99FF66"/>
        </patternFill>
      </fill>
    </dxf>
  </dxfs>
  <tableStyles count="0" defaultTableStyle="TableStyleMedium2" defaultPivotStyle="PivotStyleLight16"/>
  <colors>
    <mruColors>
      <color rgb="FFFB8B6D"/>
      <color rgb="FF99FF66"/>
      <color rgb="FF66FF66"/>
      <color rgb="FF4CAF01"/>
      <color rgb="FF8FCFFF"/>
      <color rgb="FF9BFF9D"/>
      <color rgb="FF69BFFF"/>
      <color rgb="FF00CC05"/>
      <color rgb="FF00EE6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26</xdr:row>
      <xdr:rowOff>119062</xdr:rowOff>
    </xdr:from>
    <xdr:to>
      <xdr:col>13</xdr:col>
      <xdr:colOff>1333500</xdr:colOff>
      <xdr:row>32</xdr:row>
      <xdr:rowOff>47625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7B9A906-16A7-7699-D087-5A34AD3773AA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7B9A906-16A7-7699-D087-5A34AD3773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07B9A906-16A7-7699-D087-5A34AD3773AA}">
  <we:reference id="wa102957665" version="1.3.0.0" store="en-U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3"/>
  <sheetViews>
    <sheetView tabSelected="1" topLeftCell="A5" zoomScaleNormal="100" workbookViewId="0">
      <selection activeCell="J47" sqref="J47"/>
    </sheetView>
  </sheetViews>
  <sheetFormatPr defaultRowHeight="15" x14ac:dyDescent="0.25"/>
  <cols>
    <col min="1" max="1" width="9.140625" style="1"/>
    <col min="2" max="2" width="8.42578125" style="1" bestFit="1" customWidth="1"/>
    <col min="3" max="3" width="22.42578125" style="9" bestFit="1" customWidth="1"/>
    <col min="4" max="4" width="7.85546875" style="1" customWidth="1"/>
    <col min="5" max="5" width="8" style="1" customWidth="1"/>
    <col min="6" max="6" width="9.85546875" style="1" customWidth="1"/>
    <col min="7" max="7" width="1.7109375" style="1" customWidth="1"/>
    <col min="8" max="8" width="8.42578125" style="1" bestFit="1" customWidth="1"/>
    <col min="9" max="9" width="22.42578125" style="9" bestFit="1" customWidth="1"/>
    <col min="10" max="10" width="8.140625" style="1" customWidth="1"/>
    <col min="11" max="11" width="7.7109375" style="1" customWidth="1"/>
    <col min="12" max="12" width="8.85546875" style="1" customWidth="1"/>
    <col min="13" max="13" width="1.7109375" style="1" customWidth="1"/>
    <col min="14" max="14" width="23.28515625" style="9" bestFit="1" customWidth="1"/>
    <col min="15" max="15" width="14" style="1" bestFit="1" customWidth="1"/>
    <col min="16" max="16" width="10.42578125" style="1" bestFit="1" customWidth="1"/>
    <col min="17" max="17" width="12.5703125" style="1" bestFit="1" customWidth="1"/>
    <col min="18" max="18" width="9.7109375" style="1" bestFit="1" customWidth="1"/>
    <col min="19" max="16384" width="9.140625" style="1"/>
  </cols>
  <sheetData>
    <row r="1" spans="2:18" ht="26.25" customHeight="1" x14ac:dyDescent="0.25"/>
    <row r="4" spans="2:18" ht="24.75" customHeight="1" x14ac:dyDescent="0.25"/>
    <row r="5" spans="2:18" ht="5.25" customHeight="1" x14ac:dyDescent="0.25"/>
    <row r="6" spans="2:18" ht="30.75" customHeight="1" x14ac:dyDescent="0.25">
      <c r="B6" s="23" t="s">
        <v>30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2:18" ht="17.25" customHeight="1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2:18" ht="6" customHeight="1" x14ac:dyDescent="0.25"/>
    <row r="9" spans="2:18" ht="22.5" customHeight="1" x14ac:dyDescent="0.25">
      <c r="B9" s="18" t="s">
        <v>0</v>
      </c>
      <c r="C9" s="19"/>
      <c r="D9" s="19"/>
      <c r="E9" s="19"/>
      <c r="F9" s="20"/>
      <c r="H9" s="21" t="s">
        <v>1</v>
      </c>
      <c r="I9" s="21"/>
      <c r="J9" s="21"/>
      <c r="K9" s="21"/>
      <c r="L9" s="21"/>
      <c r="N9" s="22" t="s">
        <v>2</v>
      </c>
      <c r="O9" s="22"/>
      <c r="P9" s="22"/>
      <c r="Q9" s="22"/>
      <c r="R9" s="22"/>
    </row>
    <row r="10" spans="2:18" ht="22.5" customHeight="1" x14ac:dyDescent="0.25">
      <c r="B10" s="13" t="s">
        <v>3</v>
      </c>
      <c r="C10" s="14" t="s">
        <v>4</v>
      </c>
      <c r="D10" s="13" t="s">
        <v>5</v>
      </c>
      <c r="E10" s="13" t="s">
        <v>6</v>
      </c>
      <c r="F10" s="13" t="s">
        <v>7</v>
      </c>
      <c r="H10" s="15" t="s">
        <v>3</v>
      </c>
      <c r="I10" s="16" t="s">
        <v>4</v>
      </c>
      <c r="J10" s="15" t="s">
        <v>5</v>
      </c>
      <c r="K10" s="15" t="s">
        <v>6</v>
      </c>
      <c r="L10" s="15" t="s">
        <v>7</v>
      </c>
      <c r="N10" s="17" t="s">
        <v>4</v>
      </c>
      <c r="O10" s="13" t="s">
        <v>8</v>
      </c>
      <c r="P10" s="13" t="s">
        <v>9</v>
      </c>
      <c r="Q10" s="13" t="s">
        <v>10</v>
      </c>
      <c r="R10" s="13" t="s">
        <v>12</v>
      </c>
    </row>
    <row r="11" spans="2:18" x14ac:dyDescent="0.25">
      <c r="B11" s="5">
        <v>46297</v>
      </c>
      <c r="C11" s="12" t="s">
        <v>28</v>
      </c>
      <c r="D11" s="4">
        <v>20</v>
      </c>
      <c r="E11" s="4">
        <f>IFERROR(VLOOKUP(C11,Stock_Master!$B$4:$D$20,2,0),"")</f>
        <v>10000</v>
      </c>
      <c r="F11" s="4">
        <f>IFERROR(D11*E11,"")</f>
        <v>200000</v>
      </c>
      <c r="H11" s="6">
        <v>46297</v>
      </c>
      <c r="I11" s="11" t="s">
        <v>15</v>
      </c>
      <c r="J11" s="7">
        <v>2</v>
      </c>
      <c r="K11" s="7">
        <f>IFERROR(VLOOKUP(I11,Stock_Master!$B$4:$D$20,3,0),"")</f>
        <v>10000</v>
      </c>
      <c r="L11" s="7">
        <f>IFERROR(J11*K11,"")</f>
        <v>20000</v>
      </c>
      <c r="N11" s="10" t="s">
        <v>14</v>
      </c>
      <c r="O11" s="8">
        <f t="shared" ref="O11:O26" si="0">SUMIF($C:$C,N11,D:D)</f>
        <v>50</v>
      </c>
      <c r="P11" s="4">
        <f t="shared" ref="P11:P26" si="1">SUMIF($I:$I,N11,J:J)</f>
        <v>40</v>
      </c>
      <c r="Q11" s="4">
        <f>O11-P11</f>
        <v>10</v>
      </c>
      <c r="R11" s="4" t="str">
        <f>IF(Q11&lt;=10,"Low Stock","In Stock")</f>
        <v>Low Stock</v>
      </c>
    </row>
    <row r="12" spans="2:18" x14ac:dyDescent="0.25">
      <c r="B12" s="5">
        <v>46297</v>
      </c>
      <c r="C12" s="12" t="s">
        <v>15</v>
      </c>
      <c r="D12" s="4">
        <v>25</v>
      </c>
      <c r="E12" s="4">
        <f>IFERROR(VLOOKUP(C12,Stock_Master!$B$4:$D$20,2,0),"")</f>
        <v>7900</v>
      </c>
      <c r="F12" s="4">
        <f t="shared" ref="F12:F53" si="2">IFERROR(D12*E12,"")</f>
        <v>197500</v>
      </c>
      <c r="H12" s="6">
        <v>46297</v>
      </c>
      <c r="I12" s="11" t="s">
        <v>17</v>
      </c>
      <c r="J12" s="7">
        <v>5</v>
      </c>
      <c r="K12" s="7">
        <f>IFERROR(VLOOKUP(I12,Stock_Master!$B$4:$D$20,3,0),"")</f>
        <v>3000</v>
      </c>
      <c r="L12" s="7">
        <f t="shared" ref="L12:L53" si="3">IFERROR(J12*K12,"")</f>
        <v>15000</v>
      </c>
      <c r="N12" s="10" t="s">
        <v>15</v>
      </c>
      <c r="O12" s="8">
        <f t="shared" si="0"/>
        <v>25</v>
      </c>
      <c r="P12" s="4">
        <f t="shared" si="1"/>
        <v>17</v>
      </c>
      <c r="Q12" s="4">
        <f t="shared" ref="Q12:Q26" si="4">O12-P12</f>
        <v>8</v>
      </c>
      <c r="R12" s="4" t="str">
        <f t="shared" ref="R12:R26" si="5">IF(Q12&lt;=10,"Low Stock","In Stock")</f>
        <v>Low Stock</v>
      </c>
    </row>
    <row r="13" spans="2:18" x14ac:dyDescent="0.25">
      <c r="B13" s="5">
        <v>46297</v>
      </c>
      <c r="C13" s="12" t="s">
        <v>16</v>
      </c>
      <c r="D13" s="4">
        <v>30</v>
      </c>
      <c r="E13" s="4">
        <f>IFERROR(VLOOKUP(C13,Stock_Master!$B$4:$D$20,2,0),"")</f>
        <v>8000</v>
      </c>
      <c r="F13" s="4">
        <f t="shared" si="2"/>
        <v>240000</v>
      </c>
      <c r="H13" s="6">
        <v>46297</v>
      </c>
      <c r="I13" s="11" t="s">
        <v>16</v>
      </c>
      <c r="J13" s="7">
        <v>5</v>
      </c>
      <c r="K13" s="7">
        <f>IFERROR(VLOOKUP(I13,Stock_Master!$B$4:$D$20,3,0),"")</f>
        <v>10900</v>
      </c>
      <c r="L13" s="7">
        <f t="shared" si="3"/>
        <v>54500</v>
      </c>
      <c r="N13" s="10" t="s">
        <v>16</v>
      </c>
      <c r="O13" s="8">
        <f t="shared" si="0"/>
        <v>30</v>
      </c>
      <c r="P13" s="4">
        <f t="shared" si="1"/>
        <v>15</v>
      </c>
      <c r="Q13" s="4">
        <f t="shared" si="4"/>
        <v>15</v>
      </c>
      <c r="R13" s="4" t="str">
        <f t="shared" si="5"/>
        <v>In Stock</v>
      </c>
    </row>
    <row r="14" spans="2:18" x14ac:dyDescent="0.25">
      <c r="B14" s="5">
        <v>46297</v>
      </c>
      <c r="C14" s="12" t="s">
        <v>14</v>
      </c>
      <c r="D14" s="4">
        <v>50</v>
      </c>
      <c r="E14" s="4">
        <f>IFERROR(VLOOKUP(C14,Stock_Master!$B$4:$D$20,2,0),"")</f>
        <v>400</v>
      </c>
      <c r="F14" s="4">
        <f t="shared" si="2"/>
        <v>20000</v>
      </c>
      <c r="H14" s="6">
        <v>46298</v>
      </c>
      <c r="I14" s="11" t="s">
        <v>28</v>
      </c>
      <c r="J14" s="7">
        <v>6</v>
      </c>
      <c r="K14" s="7">
        <f>IFERROR(VLOOKUP(I14,Stock_Master!$B$4:$D$20,3,0),"")</f>
        <v>13900</v>
      </c>
      <c r="L14" s="7">
        <f t="shared" si="3"/>
        <v>83400</v>
      </c>
      <c r="N14" s="10" t="s">
        <v>17</v>
      </c>
      <c r="O14" s="8">
        <f t="shared" si="0"/>
        <v>20</v>
      </c>
      <c r="P14" s="4">
        <f t="shared" si="1"/>
        <v>5</v>
      </c>
      <c r="Q14" s="4">
        <f t="shared" si="4"/>
        <v>15</v>
      </c>
      <c r="R14" s="4" t="str">
        <f t="shared" si="5"/>
        <v>In Stock</v>
      </c>
    </row>
    <row r="15" spans="2:18" x14ac:dyDescent="0.25">
      <c r="B15" s="5">
        <v>46298</v>
      </c>
      <c r="C15" s="12" t="s">
        <v>25</v>
      </c>
      <c r="D15" s="4">
        <v>60</v>
      </c>
      <c r="E15" s="4">
        <f>IFERROR(VLOOKUP(C15,Stock_Master!$B$4:$D$20,2,0),"")</f>
        <v>600</v>
      </c>
      <c r="F15" s="4">
        <f t="shared" si="2"/>
        <v>36000</v>
      </c>
      <c r="H15" s="6">
        <v>46298</v>
      </c>
      <c r="I15" s="11" t="s">
        <v>16</v>
      </c>
      <c r="J15" s="7">
        <v>5</v>
      </c>
      <c r="K15" s="7">
        <f>IFERROR(VLOOKUP(I15,Stock_Master!$B$4:$D$20,3,0),"")</f>
        <v>10900</v>
      </c>
      <c r="L15" s="7">
        <f t="shared" si="3"/>
        <v>54500</v>
      </c>
      <c r="N15" s="10" t="s">
        <v>18</v>
      </c>
      <c r="O15" s="8">
        <f t="shared" si="0"/>
        <v>22</v>
      </c>
      <c r="P15" s="4">
        <f t="shared" si="1"/>
        <v>0</v>
      </c>
      <c r="Q15" s="4">
        <f t="shared" si="4"/>
        <v>22</v>
      </c>
      <c r="R15" s="4" t="str">
        <f t="shared" si="5"/>
        <v>In Stock</v>
      </c>
    </row>
    <row r="16" spans="2:18" x14ac:dyDescent="0.25">
      <c r="B16" s="5">
        <v>46298</v>
      </c>
      <c r="C16" s="12" t="s">
        <v>19</v>
      </c>
      <c r="D16" s="4">
        <v>40</v>
      </c>
      <c r="E16" s="4">
        <f>IFERROR(VLOOKUP(C16,Stock_Master!$B$4:$D$20,2,0),"")</f>
        <v>6000</v>
      </c>
      <c r="F16" s="4">
        <f t="shared" si="2"/>
        <v>240000</v>
      </c>
      <c r="H16" s="6">
        <v>46299</v>
      </c>
      <c r="I16" s="11" t="s">
        <v>15</v>
      </c>
      <c r="J16" s="7">
        <v>10</v>
      </c>
      <c r="K16" s="7">
        <f>IFERROR(VLOOKUP(I16,Stock_Master!$B$4:$D$20,3,0),"")</f>
        <v>10000</v>
      </c>
      <c r="L16" s="7">
        <f t="shared" si="3"/>
        <v>100000</v>
      </c>
      <c r="N16" s="10" t="s">
        <v>19</v>
      </c>
      <c r="O16" s="8">
        <f t="shared" si="0"/>
        <v>52</v>
      </c>
      <c r="P16" s="4">
        <f t="shared" si="1"/>
        <v>50</v>
      </c>
      <c r="Q16" s="4">
        <f t="shared" si="4"/>
        <v>2</v>
      </c>
      <c r="R16" s="4" t="str">
        <f t="shared" si="5"/>
        <v>Low Stock</v>
      </c>
    </row>
    <row r="17" spans="2:18" x14ac:dyDescent="0.25">
      <c r="B17" s="5">
        <v>46298</v>
      </c>
      <c r="C17" s="12" t="s">
        <v>23</v>
      </c>
      <c r="D17" s="4">
        <v>28</v>
      </c>
      <c r="E17" s="4">
        <f>IFERROR(VLOOKUP(C17,Stock_Master!$B$4:$D$20,2,0),"")</f>
        <v>2100</v>
      </c>
      <c r="F17" s="4">
        <f t="shared" si="2"/>
        <v>58800</v>
      </c>
      <c r="H17" s="6">
        <v>46299</v>
      </c>
      <c r="I17" s="11" t="s">
        <v>14</v>
      </c>
      <c r="J17" s="7">
        <v>40</v>
      </c>
      <c r="K17" s="7">
        <f>IFERROR(VLOOKUP(I17,Stock_Master!$B$4:$D$20,3,0),"")</f>
        <v>500</v>
      </c>
      <c r="L17" s="7">
        <f t="shared" si="3"/>
        <v>20000</v>
      </c>
      <c r="N17" s="10" t="s">
        <v>20</v>
      </c>
      <c r="O17" s="8">
        <f t="shared" si="0"/>
        <v>12</v>
      </c>
      <c r="P17" s="4">
        <f t="shared" si="1"/>
        <v>6</v>
      </c>
      <c r="Q17" s="4">
        <f t="shared" si="4"/>
        <v>6</v>
      </c>
      <c r="R17" s="4" t="str">
        <f t="shared" si="5"/>
        <v>Low Stock</v>
      </c>
    </row>
    <row r="18" spans="2:18" x14ac:dyDescent="0.25">
      <c r="B18" s="27">
        <v>46298</v>
      </c>
      <c r="C18" s="12" t="s">
        <v>17</v>
      </c>
      <c r="D18" s="4">
        <v>20</v>
      </c>
      <c r="E18" s="4">
        <f>IFERROR(VLOOKUP(C18,Stock_Master!$B$4:$D$20,2,0),"")</f>
        <v>2300</v>
      </c>
      <c r="F18" s="4">
        <f t="shared" si="2"/>
        <v>46000</v>
      </c>
      <c r="H18" s="6">
        <v>46299</v>
      </c>
      <c r="I18" s="11" t="s">
        <v>22</v>
      </c>
      <c r="J18" s="7">
        <v>6</v>
      </c>
      <c r="K18" s="7">
        <f>IFERROR(VLOOKUP(I18,Stock_Master!$B$4:$D$20,3,0),"")</f>
        <v>12000</v>
      </c>
      <c r="L18" s="7">
        <f t="shared" si="3"/>
        <v>72000</v>
      </c>
      <c r="N18" s="10" t="s">
        <v>21</v>
      </c>
      <c r="O18" s="8">
        <f t="shared" si="0"/>
        <v>15</v>
      </c>
      <c r="P18" s="4">
        <f t="shared" si="1"/>
        <v>12</v>
      </c>
      <c r="Q18" s="4">
        <f t="shared" si="4"/>
        <v>3</v>
      </c>
      <c r="R18" s="4" t="str">
        <f t="shared" si="5"/>
        <v>Low Stock</v>
      </c>
    </row>
    <row r="19" spans="2:18" x14ac:dyDescent="0.25">
      <c r="B19" s="5">
        <v>46299</v>
      </c>
      <c r="C19" s="26" t="s">
        <v>22</v>
      </c>
      <c r="D19" s="4">
        <v>15</v>
      </c>
      <c r="E19" s="4">
        <f>IFERROR(VLOOKUP(C19,Stock_Master!$B$4:$D$20,2,0),"")</f>
        <v>9000</v>
      </c>
      <c r="F19" s="4">
        <f t="shared" si="2"/>
        <v>135000</v>
      </c>
      <c r="H19" s="6">
        <v>46300</v>
      </c>
      <c r="I19" s="11" t="s">
        <v>29</v>
      </c>
      <c r="J19" s="7">
        <v>10</v>
      </c>
      <c r="K19" s="7">
        <f>IFERROR(VLOOKUP(I19,Stock_Master!$B$4:$D$20,3,0),"")</f>
        <v>8700</v>
      </c>
      <c r="L19" s="7">
        <f t="shared" si="3"/>
        <v>87000</v>
      </c>
      <c r="N19" s="10" t="s">
        <v>22</v>
      </c>
      <c r="O19" s="8">
        <f t="shared" si="0"/>
        <v>30</v>
      </c>
      <c r="P19" s="4">
        <f t="shared" si="1"/>
        <v>6</v>
      </c>
      <c r="Q19" s="4">
        <f t="shared" si="4"/>
        <v>24</v>
      </c>
      <c r="R19" s="4" t="str">
        <f t="shared" si="5"/>
        <v>In Stock</v>
      </c>
    </row>
    <row r="20" spans="2:18" x14ac:dyDescent="0.25">
      <c r="B20" s="25">
        <v>46299</v>
      </c>
      <c r="C20" s="12" t="s">
        <v>18</v>
      </c>
      <c r="D20" s="4">
        <v>22</v>
      </c>
      <c r="E20" s="4">
        <f>IFERROR(VLOOKUP(C20,Stock_Master!$B$4:$D$20,2,0),"")</f>
        <v>1500</v>
      </c>
      <c r="F20" s="4">
        <f t="shared" si="2"/>
        <v>33000</v>
      </c>
      <c r="H20" s="6">
        <v>46300</v>
      </c>
      <c r="I20" s="11" t="s">
        <v>21</v>
      </c>
      <c r="J20" s="7">
        <v>10</v>
      </c>
      <c r="K20" s="7">
        <f>IFERROR(VLOOKUP(I20,Stock_Master!$B$4:$D$20,3,0),"")</f>
        <v>700</v>
      </c>
      <c r="L20" s="7">
        <f t="shared" si="3"/>
        <v>7000</v>
      </c>
      <c r="N20" s="10" t="s">
        <v>23</v>
      </c>
      <c r="O20" s="8">
        <f t="shared" si="0"/>
        <v>28</v>
      </c>
      <c r="P20" s="4">
        <f t="shared" si="1"/>
        <v>0</v>
      </c>
      <c r="Q20" s="4">
        <f t="shared" si="4"/>
        <v>28</v>
      </c>
      <c r="R20" s="4" t="str">
        <f t="shared" si="5"/>
        <v>In Stock</v>
      </c>
    </row>
    <row r="21" spans="2:18" x14ac:dyDescent="0.25">
      <c r="B21" s="5">
        <v>46299</v>
      </c>
      <c r="C21" s="12" t="s">
        <v>29</v>
      </c>
      <c r="D21" s="4">
        <v>16</v>
      </c>
      <c r="E21" s="4">
        <f>IFERROR(VLOOKUP(C21,Stock_Master!$B$4:$D$20,2,0),"")</f>
        <v>6000</v>
      </c>
      <c r="F21" s="4">
        <f t="shared" si="2"/>
        <v>96000</v>
      </c>
      <c r="H21" s="6">
        <v>46300</v>
      </c>
      <c r="I21" s="11" t="s">
        <v>15</v>
      </c>
      <c r="J21" s="7">
        <v>5</v>
      </c>
      <c r="K21" s="7">
        <f>IFERROR(VLOOKUP(I21,Stock_Master!$B$4:$D$20,3,0),"")</f>
        <v>10000</v>
      </c>
      <c r="L21" s="7">
        <f t="shared" si="3"/>
        <v>50000</v>
      </c>
      <c r="N21" s="10" t="s">
        <v>24</v>
      </c>
      <c r="O21" s="8">
        <f t="shared" si="0"/>
        <v>15</v>
      </c>
      <c r="P21" s="4">
        <f t="shared" si="1"/>
        <v>0</v>
      </c>
      <c r="Q21" s="4">
        <f t="shared" si="4"/>
        <v>15</v>
      </c>
      <c r="R21" s="4" t="str">
        <f t="shared" si="5"/>
        <v>In Stock</v>
      </c>
    </row>
    <row r="22" spans="2:18" x14ac:dyDescent="0.25">
      <c r="B22" s="5">
        <v>46300</v>
      </c>
      <c r="C22" s="12" t="s">
        <v>21</v>
      </c>
      <c r="D22" s="4">
        <v>15</v>
      </c>
      <c r="E22" s="4">
        <f>IFERROR(VLOOKUP(C22,Stock_Master!$B$4:$D$20,2,0),"")</f>
        <v>500</v>
      </c>
      <c r="F22" s="4">
        <f t="shared" si="2"/>
        <v>7500</v>
      </c>
      <c r="H22" s="6">
        <v>46301</v>
      </c>
      <c r="I22" s="11" t="s">
        <v>16</v>
      </c>
      <c r="J22" s="7">
        <v>5</v>
      </c>
      <c r="K22" s="7">
        <f>IFERROR(VLOOKUP(I22,Stock_Master!$B$4:$D$20,3,0),"")</f>
        <v>10900</v>
      </c>
      <c r="L22" s="7">
        <f t="shared" si="3"/>
        <v>54500</v>
      </c>
      <c r="N22" s="10" t="s">
        <v>25</v>
      </c>
      <c r="O22" s="8">
        <f t="shared" si="0"/>
        <v>60</v>
      </c>
      <c r="P22" s="4">
        <f t="shared" si="1"/>
        <v>52</v>
      </c>
      <c r="Q22" s="4">
        <f t="shared" si="4"/>
        <v>8</v>
      </c>
      <c r="R22" s="4" t="str">
        <f t="shared" si="5"/>
        <v>Low Stock</v>
      </c>
    </row>
    <row r="23" spans="2:18" x14ac:dyDescent="0.25">
      <c r="B23" s="5">
        <v>46300</v>
      </c>
      <c r="C23" s="12" t="s">
        <v>24</v>
      </c>
      <c r="D23" s="4">
        <v>15</v>
      </c>
      <c r="E23" s="4">
        <f>IFERROR(VLOOKUP(C23,Stock_Master!$B$4:$D$20,2,0),"")</f>
        <v>12000</v>
      </c>
      <c r="F23" s="4">
        <f t="shared" si="2"/>
        <v>180000</v>
      </c>
      <c r="H23" s="6">
        <v>46301</v>
      </c>
      <c r="I23" s="11" t="s">
        <v>25</v>
      </c>
      <c r="J23" s="7">
        <v>52</v>
      </c>
      <c r="K23" s="7">
        <f>IFERROR(VLOOKUP(I23,Stock_Master!$B$4:$D$20,3,0),"")</f>
        <v>900</v>
      </c>
      <c r="L23" s="7">
        <f t="shared" si="3"/>
        <v>46800</v>
      </c>
      <c r="N23" s="10" t="s">
        <v>26</v>
      </c>
      <c r="O23" s="8">
        <f t="shared" si="0"/>
        <v>25</v>
      </c>
      <c r="P23" s="4">
        <f t="shared" si="1"/>
        <v>0</v>
      </c>
      <c r="Q23" s="4">
        <f t="shared" si="4"/>
        <v>25</v>
      </c>
      <c r="R23" s="4" t="str">
        <f t="shared" si="5"/>
        <v>In Stock</v>
      </c>
    </row>
    <row r="24" spans="2:18" x14ac:dyDescent="0.25">
      <c r="B24" s="5">
        <v>46300</v>
      </c>
      <c r="C24" s="12" t="s">
        <v>27</v>
      </c>
      <c r="D24" s="4">
        <v>15</v>
      </c>
      <c r="E24" s="4">
        <f>IFERROR(VLOOKUP(C24,Stock_Master!$B$4:$D$20,2,0),"")</f>
        <v>8000</v>
      </c>
      <c r="F24" s="4">
        <f t="shared" si="2"/>
        <v>120000</v>
      </c>
      <c r="H24" s="6">
        <v>46302</v>
      </c>
      <c r="I24" s="11" t="s">
        <v>20</v>
      </c>
      <c r="J24" s="7">
        <v>6</v>
      </c>
      <c r="K24" s="7">
        <f>IFERROR(VLOOKUP(I24,Stock_Master!$B$4:$D$20,3,0),"")</f>
        <v>22000</v>
      </c>
      <c r="L24" s="7">
        <f t="shared" si="3"/>
        <v>132000</v>
      </c>
      <c r="N24" s="10" t="s">
        <v>27</v>
      </c>
      <c r="O24" s="8">
        <f t="shared" si="0"/>
        <v>15</v>
      </c>
      <c r="P24" s="4">
        <f t="shared" si="1"/>
        <v>8</v>
      </c>
      <c r="Q24" s="4">
        <f t="shared" si="4"/>
        <v>7</v>
      </c>
      <c r="R24" s="4" t="str">
        <f t="shared" si="5"/>
        <v>Low Stock</v>
      </c>
    </row>
    <row r="25" spans="2:18" x14ac:dyDescent="0.25">
      <c r="B25" s="5">
        <v>46300</v>
      </c>
      <c r="C25" s="12" t="s">
        <v>26</v>
      </c>
      <c r="D25" s="4">
        <v>25</v>
      </c>
      <c r="E25" s="4">
        <f>IFERROR(VLOOKUP(C25,Stock_Master!$B$4:$D$20,2,0),"")</f>
        <v>1500</v>
      </c>
      <c r="F25" s="4">
        <f t="shared" si="2"/>
        <v>37500</v>
      </c>
      <c r="H25" s="6">
        <v>46302</v>
      </c>
      <c r="I25" s="11" t="s">
        <v>21</v>
      </c>
      <c r="J25" s="7">
        <v>2</v>
      </c>
      <c r="K25" s="7">
        <f>IFERROR(VLOOKUP(I25,Stock_Master!$B$4:$D$20,3,0),"")</f>
        <v>700</v>
      </c>
      <c r="L25" s="7">
        <f t="shared" si="3"/>
        <v>1400</v>
      </c>
      <c r="N25" s="10" t="s">
        <v>28</v>
      </c>
      <c r="O25" s="8">
        <f t="shared" si="0"/>
        <v>20</v>
      </c>
      <c r="P25" s="4">
        <f t="shared" si="1"/>
        <v>6</v>
      </c>
      <c r="Q25" s="4">
        <f t="shared" si="4"/>
        <v>14</v>
      </c>
      <c r="R25" s="4" t="str">
        <f t="shared" si="5"/>
        <v>In Stock</v>
      </c>
    </row>
    <row r="26" spans="2:18" x14ac:dyDescent="0.25">
      <c r="B26" s="5">
        <v>46301</v>
      </c>
      <c r="C26" s="12" t="s">
        <v>20</v>
      </c>
      <c r="D26" s="4">
        <v>12</v>
      </c>
      <c r="E26" s="4">
        <f>IFERROR(VLOOKUP(C26,Stock_Master!$B$4:$D$20,2,0),"")</f>
        <v>18000</v>
      </c>
      <c r="F26" s="4">
        <f t="shared" si="2"/>
        <v>216000</v>
      </c>
      <c r="H26" s="6">
        <v>46302</v>
      </c>
      <c r="I26" s="11" t="s">
        <v>27</v>
      </c>
      <c r="J26" s="7">
        <v>8</v>
      </c>
      <c r="K26" s="7">
        <f>IFERROR(VLOOKUP(I26,Stock_Master!$B$4:$D$20,3,0),"")</f>
        <v>10000</v>
      </c>
      <c r="L26" s="7">
        <f t="shared" si="3"/>
        <v>80000</v>
      </c>
      <c r="N26" s="10" t="s">
        <v>29</v>
      </c>
      <c r="O26" s="8">
        <f t="shared" si="0"/>
        <v>28</v>
      </c>
      <c r="P26" s="4">
        <f t="shared" si="1"/>
        <v>20</v>
      </c>
      <c r="Q26" s="4">
        <f t="shared" si="4"/>
        <v>8</v>
      </c>
      <c r="R26" s="4" t="str">
        <f t="shared" si="5"/>
        <v>Low Stock</v>
      </c>
    </row>
    <row r="27" spans="2:18" x14ac:dyDescent="0.25">
      <c r="B27" s="5">
        <v>46302</v>
      </c>
      <c r="C27" s="12" t="s">
        <v>22</v>
      </c>
      <c r="D27" s="4">
        <v>15</v>
      </c>
      <c r="E27" s="4">
        <f>IFERROR(VLOOKUP(C27,Stock_Master!$B$4:$D$20,2,0),"")</f>
        <v>9000</v>
      </c>
      <c r="F27" s="4">
        <f t="shared" si="2"/>
        <v>135000</v>
      </c>
      <c r="H27" s="6">
        <v>46303</v>
      </c>
      <c r="I27" s="11" t="s">
        <v>29</v>
      </c>
      <c r="J27" s="7">
        <v>10</v>
      </c>
      <c r="K27" s="7">
        <f>IFERROR(VLOOKUP(I27,Stock_Master!$B$4:$D$20,3,0),"")</f>
        <v>8700</v>
      </c>
      <c r="L27" s="7">
        <f t="shared" si="3"/>
        <v>87000</v>
      </c>
    </row>
    <row r="28" spans="2:18" x14ac:dyDescent="0.25">
      <c r="B28" s="5">
        <v>46302</v>
      </c>
      <c r="C28" s="12" t="s">
        <v>29</v>
      </c>
      <c r="D28" s="4">
        <v>12</v>
      </c>
      <c r="E28" s="4">
        <f>IFERROR(VLOOKUP(C28,Stock_Master!$B$4:$D$20,2,0),"")</f>
        <v>6000</v>
      </c>
      <c r="F28" s="4">
        <f t="shared" si="2"/>
        <v>72000</v>
      </c>
      <c r="H28" s="6">
        <v>46303</v>
      </c>
      <c r="I28" s="11" t="s">
        <v>19</v>
      </c>
      <c r="J28" s="7">
        <v>32</v>
      </c>
      <c r="K28" s="7">
        <f>IFERROR(VLOOKUP(I28,Stock_Master!$B$4:$D$20,3,0),"")</f>
        <v>9000</v>
      </c>
      <c r="L28" s="7">
        <f t="shared" si="3"/>
        <v>288000</v>
      </c>
    </row>
    <row r="29" spans="2:18" x14ac:dyDescent="0.25">
      <c r="B29" s="5">
        <v>46303</v>
      </c>
      <c r="C29" s="12" t="s">
        <v>19</v>
      </c>
      <c r="D29" s="4">
        <v>12</v>
      </c>
      <c r="E29" s="4">
        <f>IFERROR(VLOOKUP(C29,Stock_Master!$B$4:$D$20,2,0),"")</f>
        <v>6000</v>
      </c>
      <c r="F29" s="4">
        <f t="shared" si="2"/>
        <v>72000</v>
      </c>
      <c r="H29" s="6">
        <v>46303</v>
      </c>
      <c r="I29" s="11" t="s">
        <v>19</v>
      </c>
      <c r="J29" s="7">
        <v>18</v>
      </c>
      <c r="K29" s="7">
        <f>IFERROR(VLOOKUP(I29,Stock_Master!$B$4:$D$20,3,0),"")</f>
        <v>9000</v>
      </c>
      <c r="L29" s="7">
        <f t="shared" si="3"/>
        <v>162000</v>
      </c>
    </row>
    <row r="30" spans="2:18" x14ac:dyDescent="0.25">
      <c r="B30" s="5"/>
      <c r="C30" s="12"/>
      <c r="D30" s="4"/>
      <c r="E30" s="4" t="str">
        <f>IFERROR(VLOOKUP(C30,Stock_Master!$B$4:$D$20,2,0),"")</f>
        <v/>
      </c>
      <c r="F30" s="4" t="str">
        <f t="shared" si="2"/>
        <v/>
      </c>
      <c r="H30" s="6"/>
      <c r="I30" s="11"/>
      <c r="J30" s="7"/>
      <c r="K30" s="7" t="str">
        <f>IFERROR(VLOOKUP(I30,Stock_Master!$B$4:$D$20,3,0),"")</f>
        <v/>
      </c>
      <c r="L30" s="7" t="str">
        <f t="shared" si="3"/>
        <v/>
      </c>
    </row>
    <row r="31" spans="2:18" x14ac:dyDescent="0.25">
      <c r="B31" s="4"/>
      <c r="C31" s="12"/>
      <c r="D31" s="4"/>
      <c r="E31" s="4" t="str">
        <f>IFERROR(VLOOKUP(C31,Stock_Master!$B$4:$D$20,2,0),"")</f>
        <v/>
      </c>
      <c r="F31" s="4" t="str">
        <f t="shared" si="2"/>
        <v/>
      </c>
      <c r="H31" s="7"/>
      <c r="I31" s="11"/>
      <c r="J31" s="7"/>
      <c r="K31" s="7" t="str">
        <f>IFERROR(VLOOKUP(I31,Stock_Master!$B$4:$D$20,3,0),"")</f>
        <v/>
      </c>
      <c r="L31" s="7" t="str">
        <f t="shared" si="3"/>
        <v/>
      </c>
    </row>
    <row r="32" spans="2:18" x14ac:dyDescent="0.25">
      <c r="B32" s="4"/>
      <c r="C32" s="12"/>
      <c r="D32" s="4"/>
      <c r="E32" s="4" t="str">
        <f>IFERROR(VLOOKUP(C32,Stock_Master!$B$4:$D$20,2,0),"")</f>
        <v/>
      </c>
      <c r="F32" s="4" t="str">
        <f t="shared" si="2"/>
        <v/>
      </c>
      <c r="H32" s="7"/>
      <c r="I32" s="11"/>
      <c r="J32" s="7"/>
      <c r="K32" s="7" t="str">
        <f>IFERROR(VLOOKUP(I32,Stock_Master!$B$4:$D$20,3,0),"")</f>
        <v/>
      </c>
      <c r="L32" s="7" t="str">
        <f t="shared" si="3"/>
        <v/>
      </c>
    </row>
    <row r="33" spans="2:12" x14ac:dyDescent="0.25">
      <c r="B33" s="4"/>
      <c r="C33" s="12"/>
      <c r="D33" s="4"/>
      <c r="E33" s="4" t="str">
        <f>IFERROR(VLOOKUP(C33,Stock_Master!$B$4:$D$20,2,0),"")</f>
        <v/>
      </c>
      <c r="F33" s="4" t="str">
        <f t="shared" si="2"/>
        <v/>
      </c>
      <c r="H33" s="7"/>
      <c r="I33" s="11"/>
      <c r="J33" s="7"/>
      <c r="K33" s="7" t="str">
        <f>IFERROR(VLOOKUP(I33,Stock_Master!$B$4:$D$20,3,0),"")</f>
        <v/>
      </c>
      <c r="L33" s="7" t="str">
        <f t="shared" si="3"/>
        <v/>
      </c>
    </row>
    <row r="34" spans="2:12" x14ac:dyDescent="0.25">
      <c r="B34" s="4"/>
      <c r="C34" s="12"/>
      <c r="D34" s="4"/>
      <c r="E34" s="4" t="str">
        <f>IFERROR(VLOOKUP(C34,Stock_Master!$B$4:$D$20,2,0),"")</f>
        <v/>
      </c>
      <c r="F34" s="4" t="str">
        <f t="shared" si="2"/>
        <v/>
      </c>
      <c r="H34" s="7"/>
      <c r="I34" s="11"/>
      <c r="J34" s="7"/>
      <c r="K34" s="7" t="str">
        <f>IFERROR(VLOOKUP(I34,Stock_Master!$B$4:$D$20,3,0),"")</f>
        <v/>
      </c>
      <c r="L34" s="7" t="str">
        <f t="shared" si="3"/>
        <v/>
      </c>
    </row>
    <row r="35" spans="2:12" x14ac:dyDescent="0.25">
      <c r="B35" s="4"/>
      <c r="C35" s="12"/>
      <c r="D35" s="4"/>
      <c r="E35" s="4" t="str">
        <f>IFERROR(VLOOKUP(C35,Stock_Master!$B$4:$D$20,2,0),"")</f>
        <v/>
      </c>
      <c r="F35" s="4" t="str">
        <f t="shared" si="2"/>
        <v/>
      </c>
      <c r="H35" s="7"/>
      <c r="I35" s="11"/>
      <c r="J35" s="7"/>
      <c r="K35" s="7" t="str">
        <f>IFERROR(VLOOKUP(I35,Stock_Master!$B$4:$D$20,3,0),"")</f>
        <v/>
      </c>
      <c r="L35" s="7" t="str">
        <f t="shared" si="3"/>
        <v/>
      </c>
    </row>
    <row r="36" spans="2:12" x14ac:dyDescent="0.25">
      <c r="B36" s="4"/>
      <c r="C36" s="12"/>
      <c r="D36" s="4"/>
      <c r="E36" s="4" t="str">
        <f>IFERROR(VLOOKUP(C36,Stock_Master!$B$4:$D$20,2,0),"")</f>
        <v/>
      </c>
      <c r="F36" s="4" t="str">
        <f t="shared" si="2"/>
        <v/>
      </c>
      <c r="H36" s="7"/>
      <c r="I36" s="11"/>
      <c r="J36" s="7"/>
      <c r="K36" s="7" t="str">
        <f>IFERROR(VLOOKUP(I36,Stock_Master!$B$4:$D$20,3,0),"")</f>
        <v/>
      </c>
      <c r="L36" s="7" t="str">
        <f t="shared" si="3"/>
        <v/>
      </c>
    </row>
    <row r="37" spans="2:12" x14ac:dyDescent="0.25">
      <c r="B37" s="4"/>
      <c r="C37" s="12"/>
      <c r="D37" s="4"/>
      <c r="E37" s="4" t="str">
        <f>IFERROR(VLOOKUP(C37,Stock_Master!$B$4:$D$20,2,0),"")</f>
        <v/>
      </c>
      <c r="F37" s="4" t="str">
        <f t="shared" si="2"/>
        <v/>
      </c>
      <c r="H37" s="7"/>
      <c r="I37" s="11"/>
      <c r="J37" s="7"/>
      <c r="K37" s="7" t="str">
        <f>IFERROR(VLOOKUP(I37,Stock_Master!$B$4:$D$20,3,0),"")</f>
        <v/>
      </c>
      <c r="L37" s="7" t="str">
        <f t="shared" si="3"/>
        <v/>
      </c>
    </row>
    <row r="38" spans="2:12" x14ac:dyDescent="0.25">
      <c r="B38" s="4"/>
      <c r="C38" s="12"/>
      <c r="D38" s="4"/>
      <c r="E38" s="4" t="str">
        <f>IFERROR(VLOOKUP(C38,Stock_Master!$B$4:$D$20,2,0),"")</f>
        <v/>
      </c>
      <c r="F38" s="4" t="str">
        <f t="shared" si="2"/>
        <v/>
      </c>
      <c r="H38" s="7"/>
      <c r="I38" s="11"/>
      <c r="J38" s="7"/>
      <c r="K38" s="7" t="str">
        <f>IFERROR(VLOOKUP(I38,Stock_Master!$B$4:$D$20,3,0),"")</f>
        <v/>
      </c>
      <c r="L38" s="7" t="str">
        <f t="shared" si="3"/>
        <v/>
      </c>
    </row>
    <row r="39" spans="2:12" x14ac:dyDescent="0.25">
      <c r="B39" s="4"/>
      <c r="C39" s="12"/>
      <c r="D39" s="4"/>
      <c r="E39" s="4" t="str">
        <f>IFERROR(VLOOKUP(C39,Stock_Master!$B$4:$D$20,2,0),"")</f>
        <v/>
      </c>
      <c r="F39" s="4" t="str">
        <f t="shared" si="2"/>
        <v/>
      </c>
      <c r="H39" s="7"/>
      <c r="I39" s="11"/>
      <c r="J39" s="7"/>
      <c r="K39" s="7" t="str">
        <f>IFERROR(VLOOKUP(I39,Stock_Master!$B$4:$D$20,3,0),"")</f>
        <v/>
      </c>
      <c r="L39" s="7" t="str">
        <f t="shared" si="3"/>
        <v/>
      </c>
    </row>
    <row r="40" spans="2:12" x14ac:dyDescent="0.25">
      <c r="B40" s="4"/>
      <c r="C40" s="12"/>
      <c r="D40" s="4"/>
      <c r="E40" s="4" t="str">
        <f>IFERROR(VLOOKUP(C40,Stock_Master!$B$4:$D$20,2,0),"")</f>
        <v/>
      </c>
      <c r="F40" s="4" t="str">
        <f t="shared" si="2"/>
        <v/>
      </c>
      <c r="H40" s="7"/>
      <c r="I40" s="11"/>
      <c r="J40" s="7"/>
      <c r="K40" s="7" t="str">
        <f>IFERROR(VLOOKUP(I40,Stock_Master!$B$4:$D$20,3,0),"")</f>
        <v/>
      </c>
      <c r="L40" s="7" t="str">
        <f t="shared" si="3"/>
        <v/>
      </c>
    </row>
    <row r="41" spans="2:12" x14ac:dyDescent="0.25">
      <c r="B41" s="4"/>
      <c r="C41" s="12"/>
      <c r="D41" s="4"/>
      <c r="E41" s="4" t="str">
        <f>IFERROR(VLOOKUP(C41,Stock_Master!$B$4:$D$20,2,0),"")</f>
        <v/>
      </c>
      <c r="F41" s="4" t="str">
        <f t="shared" si="2"/>
        <v/>
      </c>
      <c r="H41" s="7"/>
      <c r="I41" s="11"/>
      <c r="J41" s="7"/>
      <c r="K41" s="7" t="str">
        <f>IFERROR(VLOOKUP(I41,Stock_Master!$B$4:$D$20,3,0),"")</f>
        <v/>
      </c>
      <c r="L41" s="7" t="str">
        <f t="shared" si="3"/>
        <v/>
      </c>
    </row>
    <row r="42" spans="2:12" x14ac:dyDescent="0.25">
      <c r="B42" s="4"/>
      <c r="C42" s="12"/>
      <c r="D42" s="4"/>
      <c r="E42" s="4" t="str">
        <f>IFERROR(VLOOKUP(C42,Stock_Master!$B$4:$D$20,2,0),"")</f>
        <v/>
      </c>
      <c r="F42" s="4" t="str">
        <f t="shared" si="2"/>
        <v/>
      </c>
      <c r="H42" s="7"/>
      <c r="I42" s="11"/>
      <c r="J42" s="7"/>
      <c r="K42" s="7" t="str">
        <f>IFERROR(VLOOKUP(I42,Stock_Master!$B$4:$D$20,3,0),"")</f>
        <v/>
      </c>
      <c r="L42" s="7" t="str">
        <f t="shared" si="3"/>
        <v/>
      </c>
    </row>
    <row r="43" spans="2:12" x14ac:dyDescent="0.25">
      <c r="B43" s="4"/>
      <c r="C43" s="12"/>
      <c r="D43" s="4"/>
      <c r="E43" s="4" t="str">
        <f>IFERROR(VLOOKUP(C43,Stock_Master!$B$4:$D$20,2,0),"")</f>
        <v/>
      </c>
      <c r="F43" s="4" t="str">
        <f t="shared" si="2"/>
        <v/>
      </c>
      <c r="H43" s="7"/>
      <c r="I43" s="11"/>
      <c r="J43" s="7"/>
      <c r="K43" s="7" t="str">
        <f>IFERROR(VLOOKUP(I43,Stock_Master!$B$4:$D$20,3,0),"")</f>
        <v/>
      </c>
      <c r="L43" s="7" t="str">
        <f t="shared" si="3"/>
        <v/>
      </c>
    </row>
    <row r="44" spans="2:12" x14ac:dyDescent="0.25">
      <c r="B44" s="4"/>
      <c r="C44" s="12"/>
      <c r="D44" s="4"/>
      <c r="E44" s="4" t="str">
        <f>IFERROR(VLOOKUP(C44,Stock_Master!$B$4:$D$20,2,0),"")</f>
        <v/>
      </c>
      <c r="F44" s="4" t="str">
        <f t="shared" si="2"/>
        <v/>
      </c>
      <c r="H44" s="7"/>
      <c r="I44" s="11"/>
      <c r="J44" s="7"/>
      <c r="K44" s="7" t="str">
        <f>IFERROR(VLOOKUP(I44,Stock_Master!$B$4:$D$20,3,0),"")</f>
        <v/>
      </c>
      <c r="L44" s="7" t="str">
        <f t="shared" si="3"/>
        <v/>
      </c>
    </row>
    <row r="45" spans="2:12" x14ac:dyDescent="0.25">
      <c r="B45" s="4"/>
      <c r="C45" s="12"/>
      <c r="D45" s="4"/>
      <c r="E45" s="4" t="str">
        <f>IFERROR(VLOOKUP(C45,Stock_Master!$B$4:$D$20,2,0),"")</f>
        <v/>
      </c>
      <c r="F45" s="4" t="str">
        <f t="shared" si="2"/>
        <v/>
      </c>
      <c r="H45" s="7"/>
      <c r="I45" s="11"/>
      <c r="J45" s="7"/>
      <c r="K45" s="7" t="str">
        <f>IFERROR(VLOOKUP(I45,Stock_Master!$B$4:$D$20,3,0),"")</f>
        <v/>
      </c>
      <c r="L45" s="7" t="str">
        <f t="shared" si="3"/>
        <v/>
      </c>
    </row>
    <row r="46" spans="2:12" x14ac:dyDescent="0.25">
      <c r="B46" s="4"/>
      <c r="C46" s="12"/>
      <c r="D46" s="4"/>
      <c r="E46" s="4" t="str">
        <f>IFERROR(VLOOKUP(C46,Stock_Master!$B$4:$D$20,2,0),"")</f>
        <v/>
      </c>
      <c r="F46" s="4" t="str">
        <f t="shared" si="2"/>
        <v/>
      </c>
      <c r="H46" s="7"/>
      <c r="I46" s="11"/>
      <c r="J46" s="7"/>
      <c r="K46" s="7" t="str">
        <f>IFERROR(VLOOKUP(I46,Stock_Master!$B$4:$D$20,3,0),"")</f>
        <v/>
      </c>
      <c r="L46" s="7" t="str">
        <f t="shared" si="3"/>
        <v/>
      </c>
    </row>
    <row r="47" spans="2:12" x14ac:dyDescent="0.25">
      <c r="B47" s="4"/>
      <c r="C47" s="12"/>
      <c r="D47" s="4"/>
      <c r="E47" s="4" t="str">
        <f>IFERROR(VLOOKUP(C47,Stock_Master!$B$4:$D$20,2,0),"")</f>
        <v/>
      </c>
      <c r="F47" s="4" t="str">
        <f t="shared" si="2"/>
        <v/>
      </c>
      <c r="H47" s="7"/>
      <c r="I47" s="11"/>
      <c r="J47" s="7"/>
      <c r="K47" s="7" t="str">
        <f>IFERROR(VLOOKUP(I47,Stock_Master!$B$4:$D$20,3,0),"")</f>
        <v/>
      </c>
      <c r="L47" s="7" t="str">
        <f t="shared" si="3"/>
        <v/>
      </c>
    </row>
    <row r="48" spans="2:12" x14ac:dyDescent="0.25">
      <c r="B48" s="4"/>
      <c r="C48" s="12"/>
      <c r="D48" s="4"/>
      <c r="E48" s="4" t="str">
        <f>IFERROR(VLOOKUP(C48,Stock_Master!$B$4:$D$20,2,0),"")</f>
        <v/>
      </c>
      <c r="F48" s="4" t="str">
        <f t="shared" si="2"/>
        <v/>
      </c>
      <c r="H48" s="7"/>
      <c r="I48" s="11"/>
      <c r="J48" s="7"/>
      <c r="K48" s="7" t="str">
        <f>IFERROR(VLOOKUP(I48,Stock_Master!$B$4:$D$20,3,0),"")</f>
        <v/>
      </c>
      <c r="L48" s="7" t="str">
        <f t="shared" si="3"/>
        <v/>
      </c>
    </row>
    <row r="49" spans="2:12" x14ac:dyDescent="0.25">
      <c r="B49" s="4"/>
      <c r="C49" s="12"/>
      <c r="D49" s="4"/>
      <c r="E49" s="4" t="str">
        <f>IFERROR(VLOOKUP(C49,Stock_Master!$B$4:$D$20,2,0),"")</f>
        <v/>
      </c>
      <c r="F49" s="4" t="str">
        <f t="shared" si="2"/>
        <v/>
      </c>
      <c r="H49" s="7"/>
      <c r="I49" s="11"/>
      <c r="J49" s="7"/>
      <c r="K49" s="7" t="str">
        <f>IFERROR(VLOOKUP(I49,Stock_Master!$B$4:$D$20,3,0),"")</f>
        <v/>
      </c>
      <c r="L49" s="7" t="str">
        <f t="shared" si="3"/>
        <v/>
      </c>
    </row>
    <row r="50" spans="2:12" x14ac:dyDescent="0.25">
      <c r="B50" s="4"/>
      <c r="C50" s="12"/>
      <c r="D50" s="4"/>
      <c r="E50" s="4" t="str">
        <f>IFERROR(VLOOKUP(C50,Stock_Master!$B$4:$D$20,2,0),"")</f>
        <v/>
      </c>
      <c r="F50" s="4" t="str">
        <f t="shared" si="2"/>
        <v/>
      </c>
      <c r="H50" s="7"/>
      <c r="I50" s="11"/>
      <c r="J50" s="7"/>
      <c r="K50" s="7" t="str">
        <f>IFERROR(VLOOKUP(I50,Stock_Master!$B$4:$D$20,3,0),"")</f>
        <v/>
      </c>
      <c r="L50" s="7" t="str">
        <f t="shared" si="3"/>
        <v/>
      </c>
    </row>
    <row r="51" spans="2:12" x14ac:dyDescent="0.25">
      <c r="B51" s="4"/>
      <c r="C51" s="12"/>
      <c r="D51" s="4"/>
      <c r="E51" s="4" t="str">
        <f>IFERROR(VLOOKUP(C51,Stock_Master!$B$4:$D$20,2,0),"")</f>
        <v/>
      </c>
      <c r="F51" s="4" t="str">
        <f t="shared" si="2"/>
        <v/>
      </c>
      <c r="H51" s="7"/>
      <c r="I51" s="11"/>
      <c r="J51" s="7"/>
      <c r="K51" s="7" t="str">
        <f>IFERROR(VLOOKUP(I51,Stock_Master!$B$4:$D$20,3,0),"")</f>
        <v/>
      </c>
      <c r="L51" s="7" t="str">
        <f t="shared" si="3"/>
        <v/>
      </c>
    </row>
    <row r="52" spans="2:12" x14ac:dyDescent="0.25">
      <c r="B52" s="4"/>
      <c r="C52" s="12"/>
      <c r="D52" s="4"/>
      <c r="E52" s="4" t="str">
        <f>IFERROR(VLOOKUP(C52,Stock_Master!$B$4:$D$20,2,0),"")</f>
        <v/>
      </c>
      <c r="F52" s="4" t="str">
        <f t="shared" si="2"/>
        <v/>
      </c>
      <c r="H52" s="7"/>
      <c r="I52" s="11"/>
      <c r="J52" s="7"/>
      <c r="K52" s="7" t="str">
        <f>IFERROR(VLOOKUP(I52,Stock_Master!$B$4:$D$20,3,0),"")</f>
        <v/>
      </c>
      <c r="L52" s="7" t="str">
        <f t="shared" si="3"/>
        <v/>
      </c>
    </row>
    <row r="53" spans="2:12" x14ac:dyDescent="0.25">
      <c r="B53" s="4"/>
      <c r="C53" s="12"/>
      <c r="D53" s="4"/>
      <c r="E53" s="4" t="str">
        <f>IFERROR(VLOOKUP(C53,Stock_Master!$B$4:$D$20,2,0),"")</f>
        <v/>
      </c>
      <c r="F53" s="4" t="str">
        <f t="shared" si="2"/>
        <v/>
      </c>
      <c r="H53" s="7"/>
      <c r="I53" s="11"/>
      <c r="J53" s="7"/>
      <c r="K53" s="7" t="str">
        <f>IFERROR(VLOOKUP(I53,Stock_Master!$B$4:$D$20,3,0),"")</f>
        <v/>
      </c>
      <c r="L53" s="7" t="str">
        <f t="shared" si="3"/>
        <v/>
      </c>
    </row>
  </sheetData>
  <mergeCells count="4">
    <mergeCell ref="B9:F9"/>
    <mergeCell ref="H9:L9"/>
    <mergeCell ref="N9:R9"/>
    <mergeCell ref="B6:R7"/>
  </mergeCells>
  <conditionalFormatting sqref="R11:R26">
    <cfRule type="containsText" dxfId="1" priority="1" stopIfTrue="1" operator="containsText" text="In Stock">
      <formula>NOT(ISERROR(SEARCH("In Stock",R11)))</formula>
    </cfRule>
    <cfRule type="containsText" dxfId="0" priority="2" stopIfTrue="1" operator="containsText" text="Low Stock">
      <formula>NOT(ISERROR(SEARCH("Low Stock",R11)))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48A4DD-47C1-4DC4-81CA-EFED8E48E5C7}">
          <x14:formula1>
            <xm:f>Stock_Master!$B$5:$B$20</xm:f>
          </x14:formula1>
          <xm:sqref>I11:I86 C11:C86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6F69-3347-4ACA-9C73-E66EA2CF9A3C}">
  <dimension ref="B4:D20"/>
  <sheetViews>
    <sheetView topLeftCell="A3" workbookViewId="0">
      <selection activeCell="C13" sqref="C13"/>
    </sheetView>
  </sheetViews>
  <sheetFormatPr defaultRowHeight="15" x14ac:dyDescent="0.25"/>
  <cols>
    <col min="2" max="2" width="22.42578125" bestFit="1" customWidth="1"/>
    <col min="3" max="3" width="15" bestFit="1" customWidth="1"/>
    <col min="4" max="4" width="12.42578125" bestFit="1" customWidth="1"/>
  </cols>
  <sheetData>
    <row r="4" spans="2:4" ht="15.75" x14ac:dyDescent="0.25">
      <c r="B4" s="3" t="s">
        <v>4</v>
      </c>
      <c r="C4" s="3" t="s">
        <v>11</v>
      </c>
      <c r="D4" s="3" t="s">
        <v>13</v>
      </c>
    </row>
    <row r="5" spans="2:4" x14ac:dyDescent="0.25">
      <c r="B5" s="2" t="s">
        <v>14</v>
      </c>
      <c r="C5" s="2">
        <v>400</v>
      </c>
      <c r="D5" s="2">
        <v>500</v>
      </c>
    </row>
    <row r="6" spans="2:4" x14ac:dyDescent="0.25">
      <c r="B6" s="2" t="s">
        <v>15</v>
      </c>
      <c r="C6" s="2">
        <v>7900</v>
      </c>
      <c r="D6" s="2">
        <v>10000</v>
      </c>
    </row>
    <row r="7" spans="2:4" x14ac:dyDescent="0.25">
      <c r="B7" s="2" t="s">
        <v>16</v>
      </c>
      <c r="C7" s="2">
        <v>8000</v>
      </c>
      <c r="D7" s="2">
        <v>10900</v>
      </c>
    </row>
    <row r="8" spans="2:4" x14ac:dyDescent="0.25">
      <c r="B8" s="2" t="s">
        <v>17</v>
      </c>
      <c r="C8" s="2">
        <v>2300</v>
      </c>
      <c r="D8" s="2">
        <v>3000</v>
      </c>
    </row>
    <row r="9" spans="2:4" x14ac:dyDescent="0.25">
      <c r="B9" s="2" t="s">
        <v>18</v>
      </c>
      <c r="C9" s="2">
        <v>1500</v>
      </c>
      <c r="D9" s="2">
        <v>1800</v>
      </c>
    </row>
    <row r="10" spans="2:4" x14ac:dyDescent="0.25">
      <c r="B10" s="2" t="s">
        <v>19</v>
      </c>
      <c r="C10" s="2">
        <v>6000</v>
      </c>
      <c r="D10" s="2">
        <v>9000</v>
      </c>
    </row>
    <row r="11" spans="2:4" x14ac:dyDescent="0.25">
      <c r="B11" s="2" t="s">
        <v>20</v>
      </c>
      <c r="C11" s="2">
        <v>18000</v>
      </c>
      <c r="D11" s="2">
        <v>22000</v>
      </c>
    </row>
    <row r="12" spans="2:4" x14ac:dyDescent="0.25">
      <c r="B12" s="2" t="s">
        <v>21</v>
      </c>
      <c r="C12" s="2">
        <v>500</v>
      </c>
      <c r="D12" s="2">
        <v>700</v>
      </c>
    </row>
    <row r="13" spans="2:4" x14ac:dyDescent="0.25">
      <c r="B13" s="2" t="s">
        <v>22</v>
      </c>
      <c r="C13" s="2">
        <v>9000</v>
      </c>
      <c r="D13" s="2">
        <v>12000</v>
      </c>
    </row>
    <row r="14" spans="2:4" x14ac:dyDescent="0.25">
      <c r="B14" s="2" t="s">
        <v>23</v>
      </c>
      <c r="C14" s="2">
        <v>2100</v>
      </c>
      <c r="D14" s="2">
        <v>2500</v>
      </c>
    </row>
    <row r="15" spans="2:4" x14ac:dyDescent="0.25">
      <c r="B15" s="2" t="s">
        <v>24</v>
      </c>
      <c r="C15" s="2">
        <v>12000</v>
      </c>
      <c r="D15" s="2">
        <v>15000</v>
      </c>
    </row>
    <row r="16" spans="2:4" x14ac:dyDescent="0.25">
      <c r="B16" s="2" t="s">
        <v>25</v>
      </c>
      <c r="C16" s="2">
        <v>600</v>
      </c>
      <c r="D16" s="2">
        <v>900</v>
      </c>
    </row>
    <row r="17" spans="2:4" x14ac:dyDescent="0.25">
      <c r="B17" s="2" t="s">
        <v>26</v>
      </c>
      <c r="C17" s="2">
        <v>1500</v>
      </c>
      <c r="D17" s="2">
        <v>1800</v>
      </c>
    </row>
    <row r="18" spans="2:4" x14ac:dyDescent="0.25">
      <c r="B18" s="2" t="s">
        <v>27</v>
      </c>
      <c r="C18" s="2">
        <v>8000</v>
      </c>
      <c r="D18" s="2">
        <v>10000</v>
      </c>
    </row>
    <row r="19" spans="2:4" x14ac:dyDescent="0.25">
      <c r="B19" s="2" t="s">
        <v>28</v>
      </c>
      <c r="C19" s="2">
        <v>10000</v>
      </c>
      <c r="D19" s="2">
        <v>13900</v>
      </c>
    </row>
    <row r="20" spans="2:4" x14ac:dyDescent="0.25">
      <c r="B20" s="2" t="s">
        <v>29</v>
      </c>
      <c r="C20" s="2">
        <v>6000</v>
      </c>
      <c r="D20" s="2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Stock_Management_System</vt:lpstr>
      <vt:lpstr>Stock_Master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Sanaul Habib</dc:creator>
  <cp:lastModifiedBy>Sanaul Habib</cp:lastModifiedBy>
  <dcterms:created xsi:type="dcterms:W3CDTF">2015-06-05T18:17:20Z</dcterms:created>
  <dcterms:modified xsi:type="dcterms:W3CDTF">2026-10-11T06:32:01Z</dcterms:modified>
</cp:coreProperties>
</file>